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<sst xmlns="http://schemas.openxmlformats.org/spreadsheetml/2006/main" count="81" uniqueCount="51">
  <si>
    <t xml:space="preserve">Plano — EDA e Modelação (IA 2026-27, Projeto 01)</t>
  </si>
  <si>
    <t xml:space="preserve">Editar só as células a amarelo (Responsável, Estado, Notas). Estado: Por fazer / Em curso / Concluído.</t>
  </si>
  <si>
    <t xml:space="preserve">Resumo</t>
  </si>
  <si>
    <t xml:space="preserve">Fase</t>
  </si>
  <si>
    <t xml:space="preserve">Tarefas</t>
  </si>
  <si>
    <t xml:space="preserve">Concluídas</t>
  </si>
  <si>
    <t xml:space="preserve">% concluído</t>
  </si>
  <si>
    <t xml:space="preserve">EDA</t>
  </si>
  <si>
    <t xml:space="preserve">Modelação</t>
  </si>
  <si>
    <t xml:space="preserve">Entrega</t>
  </si>
  <si>
    <t xml:space="preserve">Total</t>
  </si>
  <si>
    <t xml:space="preserve">Nº</t>
  </si>
  <si>
    <t xml:space="preserve">Tarefa</t>
  </si>
  <si>
    <t xml:space="preserve">Pistas</t>
  </si>
  <si>
    <t xml:space="preserve">Início</t>
  </si>
  <si>
    <t xml:space="preserve">Fim</t>
  </si>
  <si>
    <t xml:space="preserve">Dias</t>
  </si>
  <si>
    <t xml:space="preserve">Responsável</t>
  </si>
  <si>
    <t xml:space="preserve">Estado</t>
  </si>
  <si>
    <t xml:space="preserve">Notas</t>
  </si>
  <si>
    <t xml:space="preserve">Visão geral de cada tabela</t>
  </si>
  <si>
    <t xml:space="preserve">Colunas e tipos, valores em falta, linhas duplicadas</t>
  </si>
  <si>
    <t xml:space="preserve">Por fazer</t>
  </si>
  <si>
    <t xml:space="preserve">Converter as colunas de datas</t>
  </si>
  <si>
    <t xml:space="preserve">São lidas como texto; sem conversão não dá para comparar janelas</t>
  </si>
  <si>
    <t xml:space="preserve">1. Integridade</t>
  </si>
  <si>
    <t xml:space="preserve">Todos os ids referidos existem? Ponte para a distance_matrix (locations); 72 pares para 9 paragens</t>
  </si>
  <si>
    <t xml:space="preserve">2. Janelas temporais</t>
  </si>
  <si>
    <t xml:space="preserve">Coerência dentro e entre janelas; regras flow, window_semantics, max_warehouse_dwell_h; viabilidade com distâncias</t>
  </si>
  <si>
    <t xml:space="preserve">3. Pesos vs. capacidades</t>
  </si>
  <si>
    <t xml:space="preserve">quantity vs weight_kg (unit_weight_kg); total vs frota; maior encomenda vs maior veículo; peso por dia; refrigeração</t>
  </si>
  <si>
    <t xml:space="preserve">4. Mapa das paragens</t>
  </si>
  <si>
    <t xml:space="preserve">Tabela com coordenadas e tipo de todas as paragens; distinguir produtores, armazém e entregas</t>
  </si>
  <si>
    <t xml:space="preserve">Juntar tudo no notebook + 1 ou 2 gráficos</t>
  </si>
  <si>
    <t xml:space="preserve">Ex.: peso por encomenda; peso por dia vs capacidade</t>
  </si>
  <si>
    <t xml:space="preserve">Conclusões em Markdown</t>
  </si>
  <si>
    <t xml:space="preserve">Dados íntegros? Encomendas impossíveis? A frota chega? O que implica para a modelação</t>
  </si>
  <si>
    <t xml:space="preserve">Desenhar as 4 classes no papel</t>
  </si>
  <si>
    <t xml:space="preserve">Problem (fixo), Request (item ou encomenda?), Vehicle, State (posição, hora, carga, pendentes)</t>
  </si>
  <si>
    <t xml:space="preserve">Carregar instâncias a partir dos CSVs</t>
  </si>
  <si>
    <t xml:space="preserve">Reaproveitar o parser e as estruturas da EDA</t>
  </si>
  <si>
    <t xml:space="preserve">Função de custo</t>
  </si>
  <si>
    <t xml:space="preserve">O que minimizar: km, tempo ou combinação?</t>
  </si>
  <si>
    <t xml:space="preserve">Verificador de viabilidade de rotas</t>
  </si>
  <si>
    <t xml:space="preserve">Janelas, capacidade, fluxo produtor → armazém → entrega</t>
  </si>
  <si>
    <t xml:space="preserve">Testes com rotas escritas à mão</t>
  </si>
  <si>
    <t xml:space="preserve">Uma válida, uma que excede capacidade, uma fora da janela</t>
  </si>
  <si>
    <t xml:space="preserve">Correr tudo do início</t>
  </si>
  <si>
    <t xml:space="preserve">Testar também trocando a pasta para o dataset maior</t>
  </si>
  <si>
    <t xml:space="preserve">GitHub + ZIP</t>
  </si>
  <si>
    <t xml:space="preserve">Repositório IA26_P01_G##; ZIP IA_P01_G##.zip com notebook, model.py, readme.txt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</si>
</sst>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d\ dd/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n">
        <f aca="false">COUNTIF(B12:B26,A6)</f>
        <v>8</v>
      </c>
      <c r="C6" s="5" t="n">
        <f aca="false">COUNTIFS(B12:B26,A6,I12:I26,"Concluído")</f>
        <v>0</v>
      </c>
      <c r="D6" s="6" t="n">
        <f aca="false">IF(B6=0,0,C6/B6)</f>
        <v>0</v>
      </c>
    </row>
    <row r="7" customFormat="false" ht="15" hidden="false" customHeight="false" outlineLevel="0" collapsed="false">
      <c r="A7" s="5" t="s">
        <v>8</v>
      </c>
      <c r="B7" s="5" t="n">
        <f aca="false">COUNTIF(B12:B26,A7)</f>
        <v>5</v>
      </c>
      <c r="C7" s="5" t="n">
        <f aca="false">COUNTIFS(B12:B26,A7,I12:I26,"Concluído")</f>
        <v>0</v>
      </c>
      <c r="D7" s="6" t="n">
        <f aca="false">IF(B7=0,0,C7/B7)</f>
        <v>0</v>
      </c>
    </row>
    <row r="8" customFormat="false" ht="15" hidden="false" customHeight="false" outlineLevel="0" collapsed="false">
      <c r="A8" s="5" t="s">
        <v>9</v>
      </c>
      <c r="B8" s="5" t="n">
        <f aca="false">COUNTIF(B12:B26,A8)</f>
        <v>2</v>
      </c>
      <c r="C8" s="5" t="n">
        <f aca="false">COUNTIFS(B12:B26,A8,I12:I26,"Concluído")</f>
        <v>0</v>
      </c>
      <c r="D8" s="6" t="n">
        <f aca="false">IF(B8=0,0,C8/B8)</f>
        <v>0</v>
      </c>
    </row>
    <row r="9" customFormat="false" ht="15" hidden="false" customHeight="false" outlineLevel="0" collapsed="false">
      <c r="A9" s="3" t="s">
        <v>10</v>
      </c>
      <c r="B9" s="3" t="n">
        <f aca="false">COUNTA(C12:C26)</f>
        <v>15</v>
      </c>
      <c r="C9" s="3" t="n">
        <f aca="false">COUNTIF(I12:I26,"Concluído")</f>
        <v>0</v>
      </c>
      <c r="D9" s="7" t="n">
        <f aca="false">IF(B9=0,0,C9/B9)</f>
        <v>0</v>
      </c>
    </row>
    <row r="11" customFormat="false" ht="15" hidden="false" customHeight="false" outlineLevel="0" collapsed="false">
      <c r="A11" s="8" t="s">
        <v>11</v>
      </c>
      <c r="B11" s="8" t="s">
        <v>3</v>
      </c>
      <c r="C11" s="8" t="s">
        <v>12</v>
      </c>
      <c r="D11" s="8" t="s">
        <v>13</v>
      </c>
      <c r="E11" s="8" t="s">
        <v>14</v>
      </c>
      <c r="F11" s="8" t="s">
        <v>15</v>
      </c>
      <c r="G11" s="8" t="s">
        <v>16</v>
      </c>
      <c r="H11" s="8" t="s">
        <v>17</v>
      </c>
      <c r="I11" s="8" t="s">
        <v>18</v>
      </c>
      <c r="J11" s="8" t="s">
        <v>19</v>
      </c>
    </row>
    <row r="12" customFormat="false" ht="15" hidden="false" customHeight="false" outlineLevel="0" collapsed="false">
      <c r="A12" s="9" t="n">
        <v>1</v>
      </c>
      <c r="B12" s="9" t="s">
        <v>7</v>
      </c>
      <c r="C12" s="9" t="s">
        <v>20</v>
      </c>
      <c r="D12" s="9" t="s">
        <v>21</v>
      </c>
      <c r="E12" s="10" t="n">
        <v>46326</v>
      </c>
      <c r="F12" s="10" t="n">
        <v>46327</v>
      </c>
      <c r="G12" s="9" t="n">
        <f aca="false">F12-E12+1</f>
        <v>2</v>
      </c>
      <c r="H12" s="11"/>
      <c r="I12" s="11" t="s">
        <v>22</v>
      </c>
      <c r="J12" s="11"/>
    </row>
    <row r="13" customFormat="false" ht="26.85" hidden="false" customHeight="false" outlineLevel="0" collapsed="false">
      <c r="A13" s="9" t="n">
        <v>2</v>
      </c>
      <c r="B13" s="9" t="s">
        <v>7</v>
      </c>
      <c r="C13" s="9" t="s">
        <v>23</v>
      </c>
      <c r="D13" s="9" t="s">
        <v>24</v>
      </c>
      <c r="E13" s="10" t="n">
        <v>46326</v>
      </c>
      <c r="F13" s="10" t="n">
        <v>46327</v>
      </c>
      <c r="G13" s="9" t="n">
        <f aca="false">F13-E13+1</f>
        <v>2</v>
      </c>
      <c r="H13" s="11"/>
      <c r="I13" s="11" t="s">
        <v>22</v>
      </c>
      <c r="J13" s="11"/>
    </row>
    <row r="14" customFormat="false" ht="26.85" hidden="false" customHeight="false" outlineLevel="0" collapsed="false">
      <c r="A14" s="9" t="n">
        <v>3</v>
      </c>
      <c r="B14" s="9" t="s">
        <v>7</v>
      </c>
      <c r="C14" s="9" t="s">
        <v>25</v>
      </c>
      <c r="D14" s="9" t="s">
        <v>26</v>
      </c>
      <c r="E14" s="10" t="n">
        <v>46328</v>
      </c>
      <c r="F14" s="10" t="n">
        <v>46329</v>
      </c>
      <c r="G14" s="9" t="n">
        <f aca="false">F14-E14+1</f>
        <v>2</v>
      </c>
      <c r="H14" s="11"/>
      <c r="I14" s="11" t="s">
        <v>22</v>
      </c>
      <c r="J14" s="11"/>
    </row>
    <row r="15" customFormat="false" ht="39.55" hidden="false" customHeight="false" outlineLevel="0" collapsed="false">
      <c r="A15" s="9" t="n">
        <v>4</v>
      </c>
      <c r="B15" s="9" t="s">
        <v>7</v>
      </c>
      <c r="C15" s="9" t="s">
        <v>27</v>
      </c>
      <c r="D15" s="9" t="s">
        <v>28</v>
      </c>
      <c r="E15" s="10" t="n">
        <v>46328</v>
      </c>
      <c r="F15" s="10" t="n">
        <v>46329</v>
      </c>
      <c r="G15" s="9" t="n">
        <f aca="false">F15-E15+1</f>
        <v>2</v>
      </c>
      <c r="H15" s="11"/>
      <c r="I15" s="11" t="s">
        <v>22</v>
      </c>
      <c r="J15" s="11"/>
    </row>
    <row r="16" customFormat="false" ht="26.85" hidden="false" customHeight="false" outlineLevel="0" collapsed="false">
      <c r="A16" s="9" t="n">
        <v>5</v>
      </c>
      <c r="B16" s="9" t="s">
        <v>7</v>
      </c>
      <c r="C16" s="9" t="s">
        <v>29</v>
      </c>
      <c r="D16" s="9" t="s">
        <v>30</v>
      </c>
      <c r="E16" s="10" t="n">
        <v>46328</v>
      </c>
      <c r="F16" s="10" t="n">
        <v>46329</v>
      </c>
      <c r="G16" s="9" t="n">
        <f aca="false">F16-E16+1</f>
        <v>2</v>
      </c>
      <c r="H16" s="11"/>
      <c r="I16" s="11" t="s">
        <v>22</v>
      </c>
      <c r="J16" s="11"/>
    </row>
    <row r="17" customFormat="false" ht="26.85" hidden="false" customHeight="false" outlineLevel="0" collapsed="false">
      <c r="A17" s="9" t="n">
        <v>6</v>
      </c>
      <c r="B17" s="9" t="s">
        <v>7</v>
      </c>
      <c r="C17" s="9" t="s">
        <v>31</v>
      </c>
      <c r="D17" s="9" t="s">
        <v>32</v>
      </c>
      <c r="E17" s="10" t="n">
        <v>46328</v>
      </c>
      <c r="F17" s="10" t="n">
        <v>46329</v>
      </c>
      <c r="G17" s="9" t="n">
        <f aca="false">F17-E17+1</f>
        <v>2</v>
      </c>
      <c r="H17" s="11"/>
      <c r="I17" s="11" t="s">
        <v>22</v>
      </c>
      <c r="J17" s="11"/>
    </row>
    <row r="18" customFormat="false" ht="26.85" hidden="false" customHeight="false" outlineLevel="0" collapsed="false">
      <c r="A18" s="9" t="n">
        <v>7</v>
      </c>
      <c r="B18" s="9" t="s">
        <v>7</v>
      </c>
      <c r="C18" s="9" t="s">
        <v>33</v>
      </c>
      <c r="D18" s="9" t="s">
        <v>34</v>
      </c>
      <c r="E18" s="10" t="n">
        <v>46329</v>
      </c>
      <c r="F18" s="10" t="n">
        <v>46330</v>
      </c>
      <c r="G18" s="9" t="n">
        <f aca="false">F18-E18+1</f>
        <v>2</v>
      </c>
      <c r="H18" s="11"/>
      <c r="I18" s="11" t="s">
        <v>22</v>
      </c>
      <c r="J18" s="11"/>
    </row>
    <row r="19" customFormat="false" ht="26.85" hidden="false" customHeight="false" outlineLevel="0" collapsed="false">
      <c r="A19" s="9" t="n">
        <v>8</v>
      </c>
      <c r="B19" s="9" t="s">
        <v>7</v>
      </c>
      <c r="C19" s="9" t="s">
        <v>35</v>
      </c>
      <c r="D19" s="9" t="s">
        <v>36</v>
      </c>
      <c r="E19" s="10" t="n">
        <v>46329</v>
      </c>
      <c r="F19" s="10" t="n">
        <v>46330</v>
      </c>
      <c r="G19" s="9" t="n">
        <f aca="false">F19-E19+1</f>
        <v>2</v>
      </c>
      <c r="H19" s="11"/>
      <c r="I19" s="11" t="s">
        <v>22</v>
      </c>
      <c r="J19" s="11"/>
    </row>
    <row r="20" customFormat="false" ht="26.85" hidden="false" customHeight="false" outlineLevel="0" collapsed="false">
      <c r="A20" s="9" t="n">
        <v>9</v>
      </c>
      <c r="B20" s="9" t="s">
        <v>8</v>
      </c>
      <c r="C20" s="9" t="s">
        <v>37</v>
      </c>
      <c r="D20" s="9" t="s">
        <v>38</v>
      </c>
      <c r="E20" s="10" t="n">
        <v>46328</v>
      </c>
      <c r="F20" s="10" t="n">
        <v>46328</v>
      </c>
      <c r="G20" s="9" t="n">
        <f aca="false">F20-E20+1</f>
        <v>1</v>
      </c>
      <c r="H20" s="11"/>
      <c r="I20" s="11" t="s">
        <v>22</v>
      </c>
      <c r="J20" s="11"/>
    </row>
    <row r="21" customFormat="false" ht="15" hidden="false" customHeight="false" outlineLevel="0" collapsed="false">
      <c r="A21" s="9" t="n">
        <v>10</v>
      </c>
      <c r="B21" s="9" t="s">
        <v>8</v>
      </c>
      <c r="C21" s="9" t="s">
        <v>39</v>
      </c>
      <c r="D21" s="9" t="s">
        <v>40</v>
      </c>
      <c r="E21" s="10" t="n">
        <v>46329</v>
      </c>
      <c r="F21" s="10" t="n">
        <v>46331</v>
      </c>
      <c r="G21" s="9" t="n">
        <f aca="false">F21-E21+1</f>
        <v>3</v>
      </c>
      <c r="H21" s="11"/>
      <c r="I21" s="11" t="s">
        <v>22</v>
      </c>
      <c r="J21" s="11"/>
    </row>
    <row r="22" customFormat="false" ht="15" hidden="false" customHeight="false" outlineLevel="0" collapsed="false">
      <c r="A22" s="9" t="n">
        <v>11</v>
      </c>
      <c r="B22" s="9" t="s">
        <v>8</v>
      </c>
      <c r="C22" s="9" t="s">
        <v>41</v>
      </c>
      <c r="D22" s="9" t="s">
        <v>42</v>
      </c>
      <c r="E22" s="10" t="n">
        <v>46329</v>
      </c>
      <c r="F22" s="10" t="n">
        <v>46331</v>
      </c>
      <c r="G22" s="9" t="n">
        <f aca="false">F22-E22+1</f>
        <v>3</v>
      </c>
      <c r="H22" s="11"/>
      <c r="I22" s="11" t="s">
        <v>22</v>
      </c>
      <c r="J22" s="11"/>
    </row>
    <row r="23" customFormat="false" ht="15" hidden="false" customHeight="false" outlineLevel="0" collapsed="false">
      <c r="A23" s="9" t="n">
        <v>12</v>
      </c>
      <c r="B23" s="9" t="s">
        <v>8</v>
      </c>
      <c r="C23" s="9" t="s">
        <v>43</v>
      </c>
      <c r="D23" s="9" t="s">
        <v>44</v>
      </c>
      <c r="E23" s="10" t="n">
        <v>46329</v>
      </c>
      <c r="F23" s="10" t="n">
        <v>46331</v>
      </c>
      <c r="G23" s="9" t="n">
        <f aca="false">F23-E23+1</f>
        <v>3</v>
      </c>
      <c r="H23" s="11"/>
      <c r="I23" s="11" t="s">
        <v>22</v>
      </c>
      <c r="J23" s="11"/>
    </row>
    <row r="24" customFormat="false" ht="15" hidden="false" customHeight="false" outlineLevel="0" collapsed="false">
      <c r="A24" s="9" t="n">
        <v>13</v>
      </c>
      <c r="B24" s="9" t="s">
        <v>8</v>
      </c>
      <c r="C24" s="9" t="s">
        <v>45</v>
      </c>
      <c r="D24" s="9" t="s">
        <v>46</v>
      </c>
      <c r="E24" s="10" t="n">
        <v>46331</v>
      </c>
      <c r="F24" s="10" t="n">
        <v>46332</v>
      </c>
      <c r="G24" s="9" t="n">
        <f aca="false">F24-E24+1</f>
        <v>2</v>
      </c>
      <c r="H24" s="11"/>
      <c r="I24" s="11" t="s">
        <v>22</v>
      </c>
      <c r="J24" s="11"/>
    </row>
    <row r="25" customFormat="false" ht="15" hidden="false" customHeight="false" outlineLevel="0" collapsed="false">
      <c r="A25" s="9" t="n">
        <v>14</v>
      </c>
      <c r="B25" s="9" t="s">
        <v>9</v>
      </c>
      <c r="C25" s="9" t="s">
        <v>47</v>
      </c>
      <c r="D25" s="9" t="s">
        <v>48</v>
      </c>
      <c r="E25" s="10" t="n">
        <v>46333</v>
      </c>
      <c r="F25" s="10" t="n">
        <v>46333</v>
      </c>
      <c r="G25" s="9" t="n">
        <f aca="false">F25-E25+1</f>
        <v>1</v>
      </c>
      <c r="H25" s="11"/>
      <c r="I25" s="11" t="s">
        <v>22</v>
      </c>
      <c r="J25" s="11"/>
    </row>
    <row r="26" customFormat="false" ht="26.85" hidden="false" customHeight="false" outlineLevel="0" collapsed="false">
      <c r="A26" s="9" t="n">
        <v>15</v>
      </c>
      <c r="B26" s="9" t="s">
        <v>9</v>
      </c>
      <c r="C26" s="9" t="s">
        <v>49</v>
      </c>
      <c r="D26" s="9" t="s">
        <v>50</v>
      </c>
      <c r="E26" s="10" t="n">
        <v>46333</v>
      </c>
      <c r="F26" s="10" t="n">
        <v>46333</v>
      </c>
      <c r="G26" s="9" t="n">
        <f aca="false">F26-E26+1</f>
        <v>1</v>
      </c>
      <c r="H26" s="11"/>
      <c r="I26" s="11" t="s">
        <v>22</v>
      </c>
      <c r="J26" s="11"/>
    </row>
  </sheetData>
  <conditionalFormatting sqref="A12:G26">
    <cfRule type="expression" priority="2" aboveAverage="0" equalAverage="0" bottom="0" percent="0" rank="0" text="" dxfId="0">
      <formula>$I12="Concluído"</formula>
    </cfRule>
    <cfRule type="expression" priority="3" aboveAverage="0" equalAverage="0" bottom="0" percent="0" rank="0" text="" dxfId="1">
      <formula>$I12="Em curso"</formula>
    </cfRule>
  </conditionalFormatting>
  <dataValidations count="1">
    <dataValidation allowBlank="true" errorStyle="stop" operator="between" showDropDown="false" showErrorMessage="false" showInputMessage="false" sqref="I12:I26" type="list">
      <formula1>"Por fazer,Em curso,Concluído"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2026-10-31T14:18:13Z</dcterms:created>
  <dc:creator>openpyxl</dc:creator>
  <dc:description/>
  <dc:language>en-US</dc:language>
  <cp:lastModifiedBy/>
  <dcterms:modified xsi:type="dcterms:W3CDTF">2026-10-31T14:18:13Z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